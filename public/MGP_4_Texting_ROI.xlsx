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%"/>
    <numFmt numFmtId="166" formatCode="$#,##0.00"/>
    <numFmt numFmtId="167" formatCode="0.0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165" fontId="4" fillId="4" borderId="1" pivotButton="0" quotePrefix="0" xfId="0"/>
    <xf numFmtId="166" fontId="4" fillId="5" borderId="1" pivotButton="0" quotePrefix="0" xfId="0"/>
    <xf numFmtId="166" fontId="4" fillId="4" borderId="1" pivotButton="0" quotePrefix="0" xfId="0"/>
    <xf numFmtId="167" fontId="4" fillId="4" borderId="1" applyAlignment="1" pivotButton="0" quotePrefix="0" xfId="0">
      <alignment horizontal="center"/>
    </xf>
    <xf numFmtId="0" fontId="0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3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7" fontId="4" fillId="6" borderId="1" applyAlignment="1" pivotButton="0" quotePrefix="0" xfId="0">
      <alignment horizontal="center"/>
    </xf>
    <xf numFmtId="0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  <xf numFmtId="167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MGP Texting ROI — Campaign Log</t>
        </is>
      </c>
    </row>
    <row r="2" ht="16" customHeight="1">
      <c r="A2" s="2" t="inlineStr">
        <is>
          <t>Spend auto-calc = $0.07 × Delivered. ROAS auto-calc = Revenue / Spend. Revenue = enter from ActBlue ref codes. Yellow = manual.</t>
        </is>
      </c>
    </row>
    <row r="3" ht="30" customHeight="1">
      <c r="A3" s="3" t="inlineStr">
        <is>
          <t>Campaign Name</t>
        </is>
      </c>
      <c r="B3" s="3" t="inlineStr">
        <is>
          <t>Send Date</t>
        </is>
      </c>
      <c r="C3" s="3" t="inlineStr">
        <is>
          <t>Purpose</t>
        </is>
      </c>
      <c r="D3" s="3" t="inlineStr">
        <is>
          <t>Total Contacts</t>
        </is>
      </c>
      <c r="E3" s="3" t="inlineStr">
        <is>
          <t>Delivered</t>
        </is>
      </c>
      <c r="F3" s="3" t="inlineStr">
        <is>
          <t>Delivery Rate</t>
        </is>
      </c>
      <c r="G3" s="3" t="inlineStr">
        <is>
          <t>Smart Links Clicked</t>
        </is>
      </c>
      <c r="H3" s="3" t="inlineStr">
        <is>
          <t>Click Rate</t>
        </is>
      </c>
      <c r="I3" s="3" t="inlineStr">
        <is>
          <t>Opt-Outs</t>
        </is>
      </c>
      <c r="J3" s="3" t="inlineStr">
        <is>
          <t>Revenue ($)</t>
        </is>
      </c>
      <c r="K3" s="3" t="inlineStr">
        <is>
          <t>Spend ($)</t>
        </is>
      </c>
      <c r="L3" s="3" t="inlineStr">
        <is>
          <t>ROAS</t>
        </is>
      </c>
      <c r="M3" s="3" t="inlineStr">
        <is>
          <t>Notes</t>
        </is>
      </c>
    </row>
    <row r="4">
      <c r="A4" s="4" t="inlineStr">
        <is>
          <t>November 2025 EOM_1</t>
        </is>
      </c>
      <c r="B4" s="5" t="inlineStr">
        <is>
          <t>2025-11-25</t>
        </is>
      </c>
      <c r="C4" s="4" t="inlineStr">
        <is>
          <t>Other</t>
        </is>
      </c>
      <c r="D4" s="6" t="n">
        <v>6003</v>
      </c>
      <c r="E4" s="6" t="n">
        <v>5430</v>
      </c>
      <c r="F4" s="7">
        <f>IF(AND(ISNUMBER(D4),D4&lt;&gt;0),E4/D4,"")</f>
        <v/>
      </c>
      <c r="G4" s="6" t="n">
        <v>94</v>
      </c>
      <c r="H4" s="7">
        <f>IF(AND(ISNUMBER(E4),E4&lt;&gt;0),G4/E4,"")</f>
        <v/>
      </c>
      <c r="I4" s="6" t="n">
        <v>177</v>
      </c>
      <c r="J4" s="8" t="n">
        <v>0</v>
      </c>
      <c r="K4" s="9">
        <f>E4*0.07</f>
        <v/>
      </c>
      <c r="L4" s="10">
        <f>IF(AND(ISNUMBER(K4),K4&lt;&gt;0),J4/K4,"")</f>
        <v/>
      </c>
      <c r="M4" s="11" t="n"/>
    </row>
    <row r="5">
      <c r="A5" s="12" t="inlineStr">
        <is>
          <t>November 2025 EOM_2</t>
        </is>
      </c>
      <c r="B5" s="13" t="inlineStr">
        <is>
          <t>2025-11-25</t>
        </is>
      </c>
      <c r="C5" s="12" t="inlineStr">
        <is>
          <t>Other</t>
        </is>
      </c>
      <c r="D5" s="14" t="n">
        <v>6225</v>
      </c>
      <c r="E5" s="14" t="n">
        <v>5227</v>
      </c>
      <c r="F5" s="15">
        <f>IF(AND(ISNUMBER(D5),D5&lt;&gt;0),E5/D5,"")</f>
        <v/>
      </c>
      <c r="G5" s="14" t="n">
        <v>111</v>
      </c>
      <c r="H5" s="15">
        <f>IF(AND(ISNUMBER(E5),E5&lt;&gt;0),G5/E5,"")</f>
        <v/>
      </c>
      <c r="I5" s="14" t="n">
        <v>146</v>
      </c>
      <c r="J5" s="8" t="n">
        <v>0</v>
      </c>
      <c r="K5" s="16">
        <f>E5*0.07</f>
        <v/>
      </c>
      <c r="L5" s="17">
        <f>IF(AND(ISNUMBER(K5),K5&lt;&gt;0),J5/K5,"")</f>
        <v/>
      </c>
      <c r="M5" s="11" t="n"/>
    </row>
    <row r="6">
      <c r="A6" s="4" t="inlineStr">
        <is>
          <t>EOQ4 251229</t>
        </is>
      </c>
      <c r="B6" s="5" t="inlineStr">
        <is>
          <t>2025-12-29</t>
        </is>
      </c>
      <c r="C6" s="4" t="inlineStr">
        <is>
          <t>Fundraising</t>
        </is>
      </c>
      <c r="D6" s="6" t="n">
        <v>4444</v>
      </c>
      <c r="E6" s="6" t="n">
        <v>3979</v>
      </c>
      <c r="F6" s="7">
        <f>IF(AND(ISNUMBER(D6),D6&lt;&gt;0),E6/D6,"")</f>
        <v/>
      </c>
      <c r="G6" s="6" t="n">
        <v>95</v>
      </c>
      <c r="H6" s="7">
        <f>IF(AND(ISNUMBER(E6),E6&lt;&gt;0),G6/E6,"")</f>
        <v/>
      </c>
      <c r="I6" s="6" t="n">
        <v>113</v>
      </c>
      <c r="J6" s="8" t="n">
        <v>0</v>
      </c>
      <c r="K6" s="9">
        <f>E6*0.07</f>
        <v/>
      </c>
      <c r="L6" s="10">
        <f>IF(AND(ISNUMBER(K6),K6&lt;&gt;0),J6/K6,"")</f>
        <v/>
      </c>
      <c r="M6" s="11" t="n"/>
    </row>
    <row r="7">
      <c r="A7" s="12" t="inlineStr">
        <is>
          <t>EOQ4 251231</t>
        </is>
      </c>
      <c r="B7" s="13" t="inlineStr">
        <is>
          <t>2025-12-31</t>
        </is>
      </c>
      <c r="C7" s="12" t="inlineStr">
        <is>
          <t>Fundraising</t>
        </is>
      </c>
      <c r="D7" s="14" t="n">
        <v>6003</v>
      </c>
      <c r="E7" s="14" t="n">
        <v>5430</v>
      </c>
      <c r="F7" s="15">
        <f>IF(AND(ISNUMBER(D7),D7&lt;&gt;0),E7/D7,"")</f>
        <v/>
      </c>
      <c r="G7" s="14" t="n">
        <v>148</v>
      </c>
      <c r="H7" s="15">
        <f>IF(AND(ISNUMBER(E7),E7&lt;&gt;0),G7/E7,"")</f>
        <v/>
      </c>
      <c r="I7" s="14" t="n">
        <v>122</v>
      </c>
      <c r="J7" s="8" t="n">
        <v>0</v>
      </c>
      <c r="K7" s="16">
        <f>E7*0.07</f>
        <v/>
      </c>
      <c r="L7" s="17">
        <f>IF(AND(ISNUMBER(K7),K7&lt;&gt;0),J7/K7,"")</f>
        <v/>
      </c>
      <c r="M7" s="11" t="n"/>
    </row>
    <row r="8">
      <c r="A8" s="4" t="inlineStr">
        <is>
          <t>EOM_Jan26_1</t>
        </is>
      </c>
      <c r="B8" s="5" t="inlineStr">
        <is>
          <t>2026-02-27</t>
        </is>
      </c>
      <c r="C8" s="4" t="inlineStr">
        <is>
          <t>Other</t>
        </is>
      </c>
      <c r="D8" s="6" t="n">
        <v>1604</v>
      </c>
      <c r="E8" s="6" t="n">
        <v>1370</v>
      </c>
      <c r="F8" s="7">
        <f>IF(AND(ISNUMBER(D8),D8&lt;&gt;0),E8/D8,"")</f>
        <v/>
      </c>
      <c r="G8" s="6" t="n">
        <v>33</v>
      </c>
      <c r="H8" s="7">
        <f>IF(AND(ISNUMBER(E8),E8&lt;&gt;0),G8/E8,"")</f>
        <v/>
      </c>
      <c r="I8" s="6" t="n">
        <v>16</v>
      </c>
      <c r="J8" s="8" t="n">
        <v>0</v>
      </c>
      <c r="K8" s="9">
        <f>E8*0.07</f>
        <v/>
      </c>
      <c r="L8" s="10">
        <f>IF(AND(ISNUMBER(K8),K8&lt;&gt;0),J8/K8,"")</f>
        <v/>
      </c>
      <c r="M8" s="11" t="n"/>
    </row>
    <row r="9">
      <c r="A9" s="12" t="inlineStr">
        <is>
          <t>EOQ-March2026-1</t>
        </is>
      </c>
      <c r="B9" s="13" t="inlineStr">
        <is>
          <t>2026-03-26</t>
        </is>
      </c>
      <c r="C9" s="12" t="inlineStr">
        <is>
          <t>Fundraising</t>
        </is>
      </c>
      <c r="D9" s="14" t="n">
        <v>2406</v>
      </c>
      <c r="E9" s="14" t="n">
        <v>2024</v>
      </c>
      <c r="F9" s="15">
        <f>IF(AND(ISNUMBER(D9),D9&lt;&gt;0),E9/D9,"")</f>
        <v/>
      </c>
      <c r="G9" s="14" t="n">
        <v>34</v>
      </c>
      <c r="H9" s="15">
        <f>IF(AND(ISNUMBER(E9),E9&lt;&gt;0),G9/E9,"")</f>
        <v/>
      </c>
      <c r="I9" s="14" t="n">
        <v>36</v>
      </c>
      <c r="J9" s="8" t="n">
        <v>0</v>
      </c>
      <c r="K9" s="16">
        <f>E9*0.07</f>
        <v/>
      </c>
      <c r="L9" s="17">
        <f>IF(AND(ISNUMBER(K9),K9&lt;&gt;0),J9/K9,"")</f>
        <v/>
      </c>
      <c r="M9" s="11" t="n"/>
    </row>
    <row r="10">
      <c r="A10" s="4" t="inlineStr">
        <is>
          <t>EOQ-March2026-2</t>
        </is>
      </c>
      <c r="B10" s="5" t="inlineStr">
        <is>
          <t>2026-03-26</t>
        </is>
      </c>
      <c r="C10" s="4" t="inlineStr">
        <is>
          <t>Fundraising</t>
        </is>
      </c>
      <c r="D10" s="6" t="n">
        <v>1631</v>
      </c>
      <c r="E10" s="6" t="n">
        <v>1253</v>
      </c>
      <c r="F10" s="7">
        <f>IF(AND(ISNUMBER(D10),D10&lt;&gt;0),E10/D10,"")</f>
        <v/>
      </c>
      <c r="G10" s="6" t="n">
        <v>23</v>
      </c>
      <c r="H10" s="7">
        <f>IF(AND(ISNUMBER(E10),E10&lt;&gt;0),G10/E10,"")</f>
        <v/>
      </c>
      <c r="I10" s="6" t="n">
        <v>3</v>
      </c>
      <c r="J10" s="8" t="n">
        <v>0</v>
      </c>
      <c r="K10" s="9">
        <f>E10*0.07</f>
        <v/>
      </c>
      <c r="L10" s="10">
        <f>IF(AND(ISNUMBER(K10),K10&lt;&gt;0),J10/K10,"")</f>
        <v/>
      </c>
      <c r="M10" s="11" t="n"/>
    </row>
    <row r="11">
      <c r="A11" s="12" t="inlineStr">
        <is>
          <t>EOQ-March2026-3</t>
        </is>
      </c>
      <c r="B11" s="13" t="inlineStr">
        <is>
          <t>2026-03-26</t>
        </is>
      </c>
      <c r="C11" s="12" t="inlineStr">
        <is>
          <t>Fundraising</t>
        </is>
      </c>
      <c r="D11" s="14" t="n">
        <v>3971</v>
      </c>
      <c r="E11" s="14" t="n">
        <v>3425</v>
      </c>
      <c r="F11" s="15">
        <f>IF(AND(ISNUMBER(D11),D11&lt;&gt;0),E11/D11,"")</f>
        <v/>
      </c>
      <c r="G11" s="14" t="n">
        <v>79</v>
      </c>
      <c r="H11" s="15">
        <f>IF(AND(ISNUMBER(E11),E11&lt;&gt;0),G11/E11,"")</f>
        <v/>
      </c>
      <c r="I11" s="14" t="n">
        <v>90</v>
      </c>
      <c r="J11" s="8" t="n">
        <v>0</v>
      </c>
      <c r="K11" s="16">
        <f>E11*0.07</f>
        <v/>
      </c>
      <c r="L11" s="17">
        <f>IF(AND(ISNUMBER(K11),K11&lt;&gt;0),J11/K11,"")</f>
        <v/>
      </c>
      <c r="M11" s="11" t="n"/>
    </row>
    <row r="12">
      <c r="A12" s="4" t="inlineStr">
        <is>
          <t>EOQ_March2026_HD_Test</t>
        </is>
      </c>
      <c r="B12" s="5" t="inlineStr">
        <is>
          <t>2026-03-27</t>
        </is>
      </c>
      <c r="C12" s="4" t="inlineStr">
        <is>
          <t>Fundraising</t>
        </is>
      </c>
      <c r="D12" s="6" t="n">
        <v>29</v>
      </c>
      <c r="E12" s="6" t="n">
        <v>27</v>
      </c>
      <c r="F12" s="7">
        <f>IF(AND(ISNUMBER(D12),D12&lt;&gt;0),E12/D12,"")</f>
        <v/>
      </c>
      <c r="G12" s="6" t="n">
        <v>2</v>
      </c>
      <c r="H12" s="7">
        <f>IF(AND(ISNUMBER(E12),E12&lt;&gt;0),G12/E12,"")</f>
        <v/>
      </c>
      <c r="I12" s="6" t="n">
        <v>2</v>
      </c>
      <c r="J12" s="8" t="n">
        <v>0</v>
      </c>
      <c r="K12" s="9">
        <f>E12*0.07</f>
        <v/>
      </c>
      <c r="L12" s="10">
        <f>IF(AND(ISNUMBER(K12),K12&lt;&gt;0),J12/K12,"")</f>
        <v/>
      </c>
      <c r="M12" s="11" t="n"/>
    </row>
    <row r="13">
      <c r="A13" s="18" t="inlineStr">
        <is>
          <t>TOTALS</t>
        </is>
      </c>
      <c r="B13" s="18" t="n"/>
      <c r="C13" s="18" t="n"/>
      <c r="D13" s="19">
        <f>SUM(D4:D12)</f>
        <v/>
      </c>
      <c r="E13" s="19">
        <f>SUM(E4:E12)</f>
        <v/>
      </c>
      <c r="F13" s="18" t="n"/>
      <c r="G13" s="19">
        <f>SUM(G4:G12)</f>
        <v/>
      </c>
      <c r="H13" s="18" t="n"/>
      <c r="I13" s="19">
        <f>SUM(I4:I12)</f>
        <v/>
      </c>
      <c r="J13" s="20">
        <f>SUM(J4:J12)</f>
        <v/>
      </c>
      <c r="K13" s="20">
        <f>SUM(K4:K12)</f>
        <v/>
      </c>
      <c r="L13" s="21">
        <f>IF(K13&lt;&gt;0,J13/K13,"")</f>
        <v/>
      </c>
      <c r="M13" s="18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2026-04-14T16:18:20Z</dcterms:created>
  <dcterms:modified xmlns:dcterms="http://purl.org/dc/terms/" xmlns:xsi="http://www.w3.org/2001/XMLSchema-instance" xsi:type="dcterms:W3CDTF">2026-04-14T16:18:20Z</dcterms:modified>
</cp:coreProperties>
</file>